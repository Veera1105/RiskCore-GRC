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1db4aff9cd32d1/Documents/GRC/"/>
    </mc:Choice>
  </mc:AlternateContent>
  <xr:revisionPtr revIDLastSave="4" documentId="8_{4B47A19E-FDFA-4E9F-8BC9-3E415A822968}" xr6:coauthVersionLast="47" xr6:coauthVersionMax="47" xr10:uidLastSave="{20A42599-44EB-4F6F-9779-6999A9042EEF}"/>
  <bookViews>
    <workbookView xWindow="-108" yWindow="-108" windowWidth="23256" windowHeight="12456" activeTab="2" xr2:uid="{B3EC47A2-E607-4DB8-98D2-C05E91449EE5}"/>
  </bookViews>
  <sheets>
    <sheet name="Risk Register" sheetId="1" r:id="rId1"/>
    <sheet name="Risk Matrix" sheetId="3" r:id="rId2"/>
    <sheet name="Dashboard" sheetId="4" r:id="rId3"/>
  </sheets>
  <calcPr calcId="181029"/>
  <pivotCaches>
    <pivotCache cacheId="2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1" l="1"/>
  <c r="H5" i="1"/>
  <c r="N5" i="1"/>
  <c r="O5" i="1"/>
  <c r="G2" i="1"/>
  <c r="H2" i="1"/>
  <c r="N2" i="1"/>
  <c r="O2" i="1"/>
  <c r="N3" i="1"/>
  <c r="O3" i="1" s="1"/>
  <c r="N4" i="1"/>
  <c r="O4" i="1" s="1"/>
  <c r="N6" i="1"/>
  <c r="O6" i="1" s="1"/>
  <c r="B3" i="3"/>
  <c r="C3" i="3"/>
  <c r="D3" i="3"/>
  <c r="B4" i="3"/>
  <c r="C4" i="3"/>
  <c r="D4" i="3"/>
  <c r="C2" i="3"/>
  <c r="D2" i="3"/>
  <c r="B2" i="3"/>
  <c r="G3" i="1"/>
  <c r="H3" i="1" s="1"/>
  <c r="G4" i="1"/>
  <c r="H4" i="1" s="1"/>
  <c r="G6" i="1"/>
  <c r="H6" i="1" s="1"/>
</calcChain>
</file>

<file path=xl/sharedStrings.xml><?xml version="1.0" encoding="utf-8"?>
<sst xmlns="http://schemas.openxmlformats.org/spreadsheetml/2006/main" count="83" uniqueCount="53">
  <si>
    <t>Risk ID</t>
  </si>
  <si>
    <t>Asset</t>
  </si>
  <si>
    <t>Likelihood</t>
  </si>
  <si>
    <t xml:space="preserve">Impact </t>
  </si>
  <si>
    <t>Risk Rating</t>
  </si>
  <si>
    <t>Risk Owner</t>
  </si>
  <si>
    <t>Threat Source</t>
  </si>
  <si>
    <t>Inherent Risk</t>
  </si>
  <si>
    <t>Risk Treatment</t>
  </si>
  <si>
    <t>Mitigation Plan</t>
  </si>
  <si>
    <t>Residual Risk</t>
  </si>
  <si>
    <t>R-001</t>
  </si>
  <si>
    <t>R-002</t>
  </si>
  <si>
    <t>R-003</t>
  </si>
  <si>
    <t>R-004</t>
  </si>
  <si>
    <t>R-005</t>
  </si>
  <si>
    <t>Customer Database</t>
  </si>
  <si>
    <t>Payment Gateway</t>
  </si>
  <si>
    <t xml:space="preserve">Cloud Storage </t>
  </si>
  <si>
    <t>Production Server</t>
  </si>
  <si>
    <t>Cybercriminal</t>
  </si>
  <si>
    <t>Ransomware Actor</t>
  </si>
  <si>
    <t>Impact ↓ / Likelihood →</t>
  </si>
  <si>
    <t>High (3)</t>
  </si>
  <si>
    <t>Medium (2)</t>
  </si>
  <si>
    <t>Low (1)</t>
  </si>
  <si>
    <t>Minimum Score</t>
  </si>
  <si>
    <t>Low</t>
  </si>
  <si>
    <t>Medium</t>
  </si>
  <si>
    <t>High</t>
  </si>
  <si>
    <t>Mitigate</t>
  </si>
  <si>
    <t>Inherent Risk Rating</t>
  </si>
  <si>
    <t>Implement MFA for all privileged and administrative accounts</t>
  </si>
  <si>
    <t>Patch or upgrade the vulnerable API component and perform security testing</t>
  </si>
  <si>
    <t>Correct cloud storage access permissions and restrict public access</t>
  </si>
  <si>
    <t>Implement immutable, isolated backups and restrict backup access from the production environment</t>
  </si>
  <si>
    <t>IT Manager</t>
  </si>
  <si>
    <t>Application Engineering Manager</t>
  </si>
  <si>
    <t>Cloud Infrastructure Manager</t>
  </si>
  <si>
    <t xml:space="preserve">Vulnerability </t>
  </si>
  <si>
    <t>Lack of MFA on privileged/admin accounts</t>
  </si>
  <si>
    <t>Outdated API component with known security vulnerabilities</t>
  </si>
  <si>
    <t>Misconfigured access permissions exposing storage publicly</t>
  </si>
  <si>
    <t>Backups are accessible from the production environment and are not immutable</t>
  </si>
  <si>
    <t>Unauthorized External User</t>
  </si>
  <si>
    <t xml:space="preserve">Residual Likelihood </t>
  </si>
  <si>
    <t xml:space="preserve">Residual Impact </t>
  </si>
  <si>
    <t>Residual Risk Rating</t>
  </si>
  <si>
    <t>Grand Total</t>
  </si>
  <si>
    <t>Risk Count</t>
  </si>
  <si>
    <t xml:space="preserve">Residual Risk Rating </t>
  </si>
  <si>
    <t>Status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</si>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</sst>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8"/>
      <name val="Calibri"/>
      <family val="2"/>
      <scheme val="minor"/>
    </font>
    <font>
      <sz val="20"/>
      <color theme="3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pivotButton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pivotButton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vertical="top"/>
    </xf>
    <xf numFmtId="0" fontId="3" fillId="0" borderId="1" xfId="0" applyFont="1" applyFill="1" applyBorder="1" applyAlignment="1">
      <alignment horizontal="center" vertical="top"/>
    </xf>
    <xf numFmtId="0" fontId="3" fillId="0" borderId="1" xfId="1" applyFont="1" applyAlignment="1">
      <alignment horizontal="center" vertical="top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</cellXfs>
  <cellStyles count="2">
    <cellStyle name="Heading 3" xfId="1" builtinId="18"/>
    <cellStyle name="Normal" xfId="0" builtinId="0"/>
  </cellStyles>
  <dxfs count="59">
    <dxf>
      <font>
        <strike val="0"/>
        <outline val="0"/>
        <shadow val="0"/>
        <u val="none"/>
        <vertAlign val="baseline"/>
        <sz val="12.7"/>
        <name val="Calibri"/>
        <family val="2"/>
        <scheme val="minor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.7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.7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strike val="0"/>
        <outline val="0"/>
        <shadow val="0"/>
        <u val="none"/>
        <vertAlign val="baseline"/>
        <sz val="20"/>
        <color theme="3"/>
        <name val="Calibri"/>
        <family val="2"/>
        <scheme val="minor"/>
      </font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.7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.7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.7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.7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.7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.7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.7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.7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.7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.7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.7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.7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.7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.7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0"/>
    </dxf>
    <dxf>
      <alignment wrapText="0"/>
    </dxf>
    <dxf>
      <border outline="0">
        <bottom style="medium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[Shopshere_Risk_Register.xlsx]Dashboard!PivotTable3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Inherent Risk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Dashboard!$A$2:$A$3</c:f>
              <c:strCache>
                <c:ptCount val="1"/>
                <c:pt idx="0">
                  <c:v>High</c:v>
                </c:pt>
              </c:strCache>
            </c:strRef>
          </c:cat>
          <c:val>
            <c:numRef>
              <c:f>Dashboard!$B$2:$B$3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BB-4B0F-9631-DFACA6715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5189152"/>
        <c:axId val="932225104"/>
      </c:barChart>
      <c:catAx>
        <c:axId val="144518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225104"/>
        <c:crosses val="autoZero"/>
        <c:auto val="1"/>
        <c:lblAlgn val="ctr"/>
        <c:lblOffset val="100"/>
        <c:noMultiLvlLbl val="0"/>
      </c:catAx>
      <c:valAx>
        <c:axId val="93222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18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[Shopshere_Risk_Register.xlsx]Dashboard!PivotTable4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Residual Risk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Dashboard!$J$1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Dashboard!$I$2:$I$4</c:f>
              <c:strCache>
                <c:ptCount val="2"/>
                <c:pt idx="0">
                  <c:v>Low</c:v>
                </c:pt>
                <c:pt idx="1">
                  <c:v>Medium</c:v>
                </c:pt>
              </c:strCache>
            </c:strRef>
          </c:cat>
          <c:val>
            <c:numRef>
              <c:f>Dashboard!$J$2:$J$4</c:f>
              <c:numCache>
                <c:formatCode>General</c:formatCode>
                <c:ptCount val="2"/>
                <c:pt idx="0">
                  <c:v>1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AD-49CF-B4FE-4E1616DB4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5194256"/>
        <c:axId val="932216464"/>
      </c:barChart>
      <c:catAx>
        <c:axId val="1445194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216464"/>
        <c:crosses val="autoZero"/>
        <c:auto val="1"/>
        <c:lblAlgn val="ctr"/>
        <c:lblOffset val="100"/>
        <c:noMultiLvlLbl val="0"/>
      </c:catAx>
      <c:valAx>
        <c:axId val="93221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194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563880</xdr:colOff>
      <xdr:row>0</xdr:row>
      <xdr:rowOff>0</xdr:rowOff>
    </xdr:from>
    <xdr:to>
      <xdr:col>7</xdr:col>
      <xdr:colOff>30480</xdr:colOff>
      <xdr:row>9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032AE67-AFF7-0AA1-51E3-ABC1F9C279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0</xdr:row>
      <xdr:rowOff>0</xdr:rowOff>
    </xdr:from>
    <xdr:to>
      <xdr:col>14</xdr:col>
      <xdr:colOff>586740</xdr:colOff>
      <xdr:row>9</xdr:row>
      <xdr:rowOff>15240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3378511-6D46-DF5E-9449-304037C802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era Ranjane" refreshedDate="46239.939311226852" createdVersion="8" refreshedVersion="8" minRefreshableVersion="3" recordCount="5" xr:uid="{C8837723-ADB7-4E6D-BE1A-2A696B700F9A}">
  <cacheSource type="worksheet">
    <worksheetSource name="Table2"/>
  </cacheSource>
  <cacheFields count="15">
    <cacheField name="Risk ID" numFmtId="0">
      <sharedItems/>
    </cacheField>
    <cacheField name="Asset" numFmtId="0">
      <sharedItems/>
    </cacheField>
    <cacheField name="Vulnerability " numFmtId="0">
      <sharedItems/>
    </cacheField>
    <cacheField name="Threat Source" numFmtId="0">
      <sharedItems/>
    </cacheField>
    <cacheField name="Likelihood" numFmtId="0">
      <sharedItems containsSemiMixedTypes="0" containsString="0" containsNumber="1" containsInteger="1" minValue="2" maxValue="3"/>
    </cacheField>
    <cacheField name="Impact " numFmtId="0">
      <sharedItems containsSemiMixedTypes="0" containsString="0" containsNumber="1" containsInteger="1" minValue="3" maxValue="3"/>
    </cacheField>
    <cacheField name="Inherent Risk" numFmtId="0">
      <sharedItems containsSemiMixedTypes="0" containsString="0" containsNumber="1" containsInteger="1" minValue="6" maxValue="9"/>
    </cacheField>
    <cacheField name="Inherent Risk Rating" numFmtId="0">
      <sharedItems count="1">
        <s v="High"/>
      </sharedItems>
    </cacheField>
    <cacheField name="Risk Treatment" numFmtId="0">
      <sharedItems/>
    </cacheField>
    <cacheField name="Mitigation Plan" numFmtId="0">
      <sharedItems/>
    </cacheField>
    <cacheField name="Risk Owner" numFmtId="0">
      <sharedItems count="3">
        <s v="IT Manager"/>
        <s v="Application Engineering Manager"/>
        <s v="Cloud Infrastructure Manager"/>
      </sharedItems>
    </cacheField>
    <cacheField name="Residual Likelihood " numFmtId="0">
      <sharedItems containsSemiMixedTypes="0" containsString="0" containsNumber="1" containsInteger="1" minValue="1" maxValue="1"/>
    </cacheField>
    <cacheField name="Residual Impact " numFmtId="0">
      <sharedItems containsSemiMixedTypes="0" containsString="0" containsNumber="1" containsInteger="1" minValue="2" maxValue="3"/>
    </cacheField>
    <cacheField name="Residual Risk" numFmtId="0">
      <sharedItems containsSemiMixedTypes="0" containsString="0" containsNumber="1" containsInteger="1" minValue="2" maxValue="3"/>
    </cacheField>
    <cacheField name="Residual Risk Rating" numFmtId="0">
      <sharedItems count="2">
        <s v="Medium"/>
        <s v="Lo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R-001"/>
    <s v="Customer Database"/>
    <s v="Lack of MFA on privileged/admin accounts"/>
    <s v="Cybercriminal"/>
    <n v="2"/>
    <n v="3"/>
    <n v="6"/>
    <x v="0"/>
    <s v="Mitigate"/>
    <s v="Implement MFA for all privileged and administrative accounts"/>
    <x v="0"/>
    <n v="1"/>
    <n v="3"/>
    <n v="3"/>
    <x v="0"/>
  </r>
  <r>
    <s v="R-002"/>
    <s v="Payment Gateway"/>
    <s v="Outdated API component with known security vulnerabilities"/>
    <s v="Cybercriminal"/>
    <n v="3"/>
    <n v="3"/>
    <n v="9"/>
    <x v="0"/>
    <s v="Mitigate"/>
    <s v="Patch or upgrade the vulnerable API component and perform security testing"/>
    <x v="1"/>
    <n v="1"/>
    <n v="3"/>
    <n v="3"/>
    <x v="0"/>
  </r>
  <r>
    <s v="R-003"/>
    <s v="Cloud Storage "/>
    <s v="Misconfigured access permissions exposing storage publicly"/>
    <s v="Unauthorized External User"/>
    <n v="2"/>
    <n v="3"/>
    <n v="6"/>
    <x v="0"/>
    <s v="Mitigate"/>
    <s v="Correct cloud storage access permissions and restrict public access"/>
    <x v="2"/>
    <n v="1"/>
    <n v="3"/>
    <n v="3"/>
    <x v="0"/>
  </r>
  <r>
    <s v="R-004"/>
    <s v="Employee Laptop"/>
    <s v="Delayed operating system and application patching"/>
    <s v="Cybercriminal/Malware"/>
    <n v="2"/>
    <n v="3"/>
    <n v="6"/>
    <x v="0"/>
    <s v="Mitigate"/>
    <s v="Implement centralized patch management and enforce timely OS/application updates"/>
    <x v="0"/>
    <n v="1"/>
    <n v="3"/>
    <n v="3"/>
    <x v="0"/>
  </r>
  <r>
    <s v="R-005"/>
    <s v="Production Server"/>
    <s v="Backups are accessible from the production environment and are not immutable"/>
    <s v="Ransomware Actor"/>
    <n v="2"/>
    <n v="3"/>
    <n v="6"/>
    <x v="0"/>
    <s v="Mitigate"/>
    <s v="Implement immutable, isolated backups and restrict backup access from the production environment"/>
    <x v="1"/>
    <n v="1"/>
    <n v="2"/>
    <n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9F975F-F9CB-4C0D-B7BD-CB2FB10161DC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Risk Owner">
  <location ref="A13:B17" firstHeaderRow="1" firstDataRow="1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Risk Count" fld="0" subtotal="count" baseField="0" baseItem="0"/>
  </dataFields>
  <formats count="6">
    <format dxfId="26">
      <pivotArea field="10" type="button" dataOnly="0" labelOnly="1" outline="0" axis="axisRow" fieldPosition="0"/>
    </format>
    <format dxfId="25">
      <pivotArea dataOnly="0" labelOnly="1" outline="0" axis="axisValues" fieldPosition="0"/>
    </format>
    <format dxfId="24">
      <pivotArea collapsedLevelsAreSubtotals="1" fieldPosition="0">
        <references count="1">
          <reference field="10" count="1">
            <x v="0"/>
          </reference>
        </references>
      </pivotArea>
    </format>
    <format dxfId="23">
      <pivotArea collapsedLevelsAreSubtotals="1" fieldPosition="0">
        <references count="1">
          <reference field="10" count="1">
            <x v="1"/>
          </reference>
        </references>
      </pivotArea>
    </format>
    <format dxfId="22">
      <pivotArea collapsedLevelsAreSubtotals="1" fieldPosition="0">
        <references count="1">
          <reference field="10" count="1">
            <x v="2"/>
          </reference>
        </references>
      </pivotArea>
    </format>
    <format dxfId="21">
      <pivotArea grandRow="1" outline="0" collapsedLevelsAreSubtotals="1" fieldPosition="0"/>
    </format>
  </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75B54D-5C33-4D5F-9B6D-D98EC20E7492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Residual Risk Rating ">
  <location ref="I1:J4" firstHeaderRow="1" firstDataRow="1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14"/>
  </rowFields>
  <rowItems count="3">
    <i>
      <x/>
    </i>
    <i>
      <x v="1"/>
    </i>
    <i t="grand">
      <x/>
    </i>
  </rowItems>
  <colItems count="1">
    <i/>
  </colItems>
  <dataFields count="1">
    <dataField name="Risk Count" fld="0" subtotal="count" baseField="0" baseItem="0"/>
  </dataFields>
  <formats count="18">
    <format dxfId="46">
      <pivotArea type="all" dataOnly="0" outline="0" fieldPosition="0"/>
    </format>
    <format dxfId="45">
      <pivotArea outline="0" collapsedLevelsAreSubtotals="1" fieldPosition="0"/>
    </format>
    <format dxfId="44">
      <pivotArea field="14" type="button" dataOnly="0" labelOnly="1" outline="0" axis="axisRow" fieldPosition="0"/>
    </format>
    <format dxfId="43">
      <pivotArea dataOnly="0" labelOnly="1" fieldPosition="0">
        <references count="1">
          <reference field="14" count="0"/>
        </references>
      </pivotArea>
    </format>
    <format dxfId="42">
      <pivotArea dataOnly="0" labelOnly="1" grandRow="1" outline="0" fieldPosition="0"/>
    </format>
    <format dxfId="41">
      <pivotArea dataOnly="0" labelOnly="1" outline="0" axis="axisValues" fieldPosition="0"/>
    </format>
    <format dxfId="40">
      <pivotArea type="all" dataOnly="0" outline="0" fieldPosition="0"/>
    </format>
    <format dxfId="39">
      <pivotArea outline="0" collapsedLevelsAreSubtotals="1" fieldPosition="0"/>
    </format>
    <format dxfId="38">
      <pivotArea field="14" type="button" dataOnly="0" labelOnly="1" outline="0" axis="axisRow" fieldPosition="0"/>
    </format>
    <format dxfId="37">
      <pivotArea dataOnly="0" labelOnly="1" fieldPosition="0">
        <references count="1">
          <reference field="14" count="0"/>
        </references>
      </pivotArea>
    </format>
    <format dxfId="36">
      <pivotArea dataOnly="0" labelOnly="1" grandRow="1" outline="0" fieldPosition="0"/>
    </format>
    <format dxfId="35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4" type="button" dataOnly="0" labelOnly="1" outline="0" axis="axisRow" fieldPosition="0"/>
    </format>
    <format dxfId="31">
      <pivotArea dataOnly="0" labelOnly="1" fieldPosition="0">
        <references count="1">
          <reference field="14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D0F7C9-DB0D-489F-ACFD-B710E08369E4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Inherent Risk Rating">
  <location ref="A1:B3" firstHeaderRow="1" firstDataRow="1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2">
    <i>
      <x/>
    </i>
    <i t="grand">
      <x/>
    </i>
  </rowItems>
  <colItems count="1">
    <i/>
  </colItems>
  <dataFields count="1">
    <dataField name="Risk Count" fld="0" subtotal="count" baseField="0" baseItem="0"/>
  </dataFields>
  <formats count="13">
    <format dxfId="57">
      <pivotArea field="7" type="button" dataOnly="0" labelOnly="1" outline="0" axis="axisRow" fieldPosition="0"/>
    </format>
    <format dxfId="56">
      <pivotArea dataOnly="0" labelOnly="1" outline="0" axis="axisValues" fieldPosition="0"/>
    </format>
    <format dxfId="55">
      <pivotArea outline="0" collapsedLevelsAreSubtotals="1" fieldPosition="0"/>
    </format>
    <format dxfId="54">
      <pivotArea dataOnly="0" labelOnly="1" fieldPosition="0">
        <references count="1">
          <reference field="7" count="0"/>
        </references>
      </pivotArea>
    </format>
    <format dxfId="53">
      <pivotArea dataOnly="0" labelOnly="1" grandRow="1" outline="0" fieldPosition="0"/>
    </format>
    <format dxfId="52">
      <pivotArea outline="0" collapsedLevelsAreSubtotals="1" fieldPosition="0"/>
    </format>
    <format dxfId="51">
      <pivotArea dataOnly="0" labelOnly="1" fieldPosition="0">
        <references count="1">
          <reference field="7" count="0"/>
        </references>
      </pivotArea>
    </format>
    <format dxfId="50">
      <pivotArea dataOnly="0" labelOnly="1" grandRow="1" outline="0" fieldPosition="0"/>
    </format>
    <format dxfId="49">
      <pivotArea outline="0" collapsedLevelsAreSubtotals="1" fieldPosition="0"/>
    </format>
    <format dxfId="48">
      <pivotArea dataOnly="0" labelOnly="1" fieldPosition="0">
        <references count="1">
          <reference field="7" count="0"/>
        </references>
      </pivotArea>
    </format>
    <format dxfId="47">
      <pivotArea dataOnly="0" labelOnly="1" grandRow="1" outline="0" fieldPosition="0"/>
    </format>
    <format dxfId="28">
      <pivotArea field="7" type="button" dataOnly="0" labelOnly="1" outline="0" axis="axisRow" fieldPosition="0"/>
    </format>
    <format dxfId="27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E64C3D-F14A-4A28-8E0A-E80D9AC707A2}" name="Table2" displayName="Table2" ref="A1:P6" totalsRowShown="0" headerRowDxfId="6" dataDxfId="7" headerRowBorderDxfId="58" headerRowCellStyle="Heading 3">
  <autoFilter ref="A1:P6" xr:uid="{05E64C3D-F14A-4A28-8E0A-E80D9AC707A2}"/>
  <tableColumns count="16">
    <tableColumn id="1" xr3:uid="{A0B1CB1B-0988-47B0-B367-BC544A7D15CA}" name="Risk ID" dataDxfId="20"/>
    <tableColumn id="2" xr3:uid="{00F1F2FF-43C9-4C70-AC1E-8CC9ABB40B9F}" name="Asset" dataDxfId="19"/>
    <tableColumn id="3" xr3:uid="{31C253AD-0C54-49E8-AB12-F81339134CEC}" name="Vulnerability " dataDxfId="18"/>
    <tableColumn id="4" xr3:uid="{51E8790C-AE16-41E2-BBE2-D3DD79C843AC}" name="Threat Source" dataDxfId="17"/>
    <tableColumn id="5" xr3:uid="{DC75151A-0A56-46D6-87C8-924F309EB8F2}" name="Likelihood" dataDxfId="16"/>
    <tableColumn id="6" xr3:uid="{F4EE4DA7-746A-4978-8C64-5C5A12EE91E1}" name="Impact " dataDxfId="15"/>
    <tableColumn id="7" xr3:uid="{87DF83D9-DB9F-49FF-881C-004D2F4F32C4}" name="Inherent Risk" dataDxfId="14">
      <calculatedColumnFormula>E2*F2</calculatedColumnFormula>
    </tableColumn>
    <tableColumn id="8" xr3:uid="{B9F0048D-0C88-476A-AAC2-178E84671ACC}" name="Inherent Risk Rating" dataDxfId="13">
      <calculatedColumnFormula>VLOOKUP(G2,'Risk Matrix'!$G$2:$H$4,2,TRUE)</calculatedColumnFormula>
    </tableColumn>
    <tableColumn id="9" xr3:uid="{D6AFFEDB-F37D-4559-AF40-52CB74A06278}" name="Risk Treatment" dataDxfId="2"/>
    <tableColumn id="10" xr3:uid="{E4ED4BE8-ABE8-49DE-8FA9-545CE78CAA5D}" name="Mitigation Plan" dataDxfId="0"/>
    <tableColumn id="11" xr3:uid="{8EC9A74F-71C2-45CE-8EB5-E653F8B3E15D}" name="Risk Owner" dataDxfId="1"/>
    <tableColumn id="12" xr3:uid="{461F5A84-5B81-49DB-A3CD-93DEF545D12E}" name="Residual Likelihood " dataDxfId="12"/>
    <tableColumn id="13" xr3:uid="{27AA9D8A-ADB1-4CC4-8A54-273343C039C7}" name="Residual Impact " dataDxfId="11"/>
    <tableColumn id="14" xr3:uid="{06F10D1F-3305-4DEA-B2ED-2DB6D7418E2E}" name="Residual Risk" dataDxfId="10">
      <calculatedColumnFormula>L2*M2</calculatedColumnFormula>
    </tableColumn>
    <tableColumn id="15" xr3:uid="{F2C3B5AF-C68E-4F69-B7E9-976A3E0496F6}" name="Residual Risk Rating" dataDxfId="9">
      <calculatedColumnFormula>VLOOKUP(N2,'Risk Matrix'!$G$2:$H$4,2,TRUE)</calculatedColumnFormula>
    </tableColumn>
    <tableColumn id="16" xr3:uid="{ABE153E9-2941-44E8-A1AE-210C5C309177}" name="Status" dataDxfId="8"/>
  </tableColumns>
  <tableStyleInfo name="TableStyleLight2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4FD47-E6E6-4764-A99C-61DAC7C79FA5}">
  <dimension ref="A1:Q19"/>
  <sheetViews>
    <sheetView zoomScale="46" zoomScaleNormal="60" workbookViewId="0">
      <pane ySplit="1" topLeftCell="A2" activePane="bottomLeft" state="frozen"/>
      <selection pane="bottomLeft" activeCell="H20" sqref="H20"/>
    </sheetView>
  </sheetViews>
  <sheetFormatPr defaultColWidth="12.77734375" defaultRowHeight="14.4" x14ac:dyDescent="0.3"/>
  <cols>
    <col min="1" max="1" width="20.21875" bestFit="1" customWidth="1"/>
    <col min="2" max="2" width="21.88671875" bestFit="1" customWidth="1"/>
    <col min="3" max="3" width="39.77734375" style="5" customWidth="1"/>
    <col min="4" max="4" width="25.33203125" bestFit="1" customWidth="1"/>
    <col min="5" max="5" width="20.88671875" bestFit="1" customWidth="1"/>
    <col min="6" max="6" width="19" customWidth="1"/>
    <col min="7" max="7" width="24.33203125" bestFit="1" customWidth="1"/>
    <col min="8" max="8" width="32.88671875" bestFit="1" customWidth="1"/>
    <col min="9" max="9" width="26.44140625" bestFit="1" customWidth="1"/>
    <col min="10" max="10" width="56.109375" customWidth="1"/>
    <col min="11" max="11" width="30.77734375" customWidth="1"/>
    <col min="12" max="12" width="30.21875" customWidth="1"/>
    <col min="13" max="13" width="25.88671875" customWidth="1"/>
    <col min="14" max="14" width="24.88671875" style="1" bestFit="1" customWidth="1"/>
    <col min="15" max="15" width="33.44140625" style="1" bestFit="1" customWidth="1"/>
    <col min="16" max="16" width="16.21875" bestFit="1" customWidth="1"/>
  </cols>
  <sheetData>
    <row r="1" spans="1:17" s="10" customFormat="1" ht="63" customHeight="1" thickBot="1" x14ac:dyDescent="0.35">
      <c r="A1" s="9" t="s">
        <v>0</v>
      </c>
      <c r="B1" s="9" t="s">
        <v>1</v>
      </c>
      <c r="C1" s="9" t="s">
        <v>39</v>
      </c>
      <c r="D1" s="9" t="s">
        <v>6</v>
      </c>
      <c r="E1" s="9" t="s">
        <v>2</v>
      </c>
      <c r="F1" s="9" t="s">
        <v>3</v>
      </c>
      <c r="G1" s="9" t="s">
        <v>7</v>
      </c>
      <c r="H1" s="9" t="s">
        <v>31</v>
      </c>
      <c r="I1" s="9" t="s">
        <v>8</v>
      </c>
      <c r="J1" s="9" t="s">
        <v>9</v>
      </c>
      <c r="K1" s="9" t="s">
        <v>5</v>
      </c>
      <c r="L1" s="9" t="s">
        <v>45</v>
      </c>
      <c r="M1" s="9" t="s">
        <v>46</v>
      </c>
      <c r="N1" s="9" t="s">
        <v>10</v>
      </c>
      <c r="O1" s="9" t="s">
        <v>47</v>
      </c>
      <c r="P1" s="9" t="s">
        <v>51</v>
      </c>
    </row>
    <row r="2" spans="1:17" s="11" customFormat="1" ht="75" customHeight="1" x14ac:dyDescent="0.3">
      <c r="A2" s="12" t="s">
        <v>11</v>
      </c>
      <c r="B2" s="11" t="s">
        <v>16</v>
      </c>
      <c r="C2" s="11" t="s">
        <v>40</v>
      </c>
      <c r="D2" s="11" t="s">
        <v>20</v>
      </c>
      <c r="E2" s="12">
        <v>2</v>
      </c>
      <c r="F2" s="12">
        <v>3</v>
      </c>
      <c r="G2" s="12">
        <f>E2*F2</f>
        <v>6</v>
      </c>
      <c r="H2" s="12" t="str">
        <f>VLOOKUP(G2,'Risk Matrix'!$G$2:$H$4,2,TRUE)</f>
        <v>High</v>
      </c>
      <c r="I2" s="12" t="s">
        <v>30</v>
      </c>
      <c r="J2" s="13" t="s">
        <v>32</v>
      </c>
      <c r="K2" s="11" t="s">
        <v>36</v>
      </c>
      <c r="L2" s="12">
        <v>1</v>
      </c>
      <c r="M2" s="12">
        <v>3</v>
      </c>
      <c r="N2" s="12">
        <f>L2*M2</f>
        <v>3</v>
      </c>
      <c r="O2" s="12" t="str">
        <f>VLOOKUP(N2,'Risk Matrix'!$G$2:$H$4,2,TRUE)</f>
        <v>Medium</v>
      </c>
      <c r="P2" s="12" t="s">
        <v>52</v>
      </c>
    </row>
    <row r="3" spans="1:17" s="11" customFormat="1" ht="88.95" customHeight="1" x14ac:dyDescent="0.3">
      <c r="A3" s="12" t="s">
        <v>12</v>
      </c>
      <c r="B3" s="11" t="s">
        <v>17</v>
      </c>
      <c r="C3" s="11" t="s">
        <v>41</v>
      </c>
      <c r="D3" s="11" t="s">
        <v>20</v>
      </c>
      <c r="E3" s="12">
        <v>3</v>
      </c>
      <c r="F3" s="12">
        <v>3</v>
      </c>
      <c r="G3" s="12">
        <f>E3*F3</f>
        <v>9</v>
      </c>
      <c r="H3" s="12" t="str">
        <f>VLOOKUP(G3,'Risk Matrix'!$G$2:$H$4,2,TRUE)</f>
        <v>High</v>
      </c>
      <c r="I3" s="12" t="s">
        <v>30</v>
      </c>
      <c r="J3" s="13" t="s">
        <v>33</v>
      </c>
      <c r="K3" s="11" t="s">
        <v>37</v>
      </c>
      <c r="L3" s="12">
        <v>1</v>
      </c>
      <c r="M3" s="12">
        <v>3</v>
      </c>
      <c r="N3" s="12">
        <f>L3*M3</f>
        <v>3</v>
      </c>
      <c r="O3" s="12" t="str">
        <f>VLOOKUP(N3,'Risk Matrix'!$G$2:$H$4,2,TRUE)</f>
        <v>Medium</v>
      </c>
      <c r="P3" s="12" t="s">
        <v>52</v>
      </c>
    </row>
    <row r="4" spans="1:17" s="11" customFormat="1" ht="94.95" customHeight="1" x14ac:dyDescent="0.3">
      <c r="A4" s="12" t="s">
        <v>13</v>
      </c>
      <c r="B4" s="11" t="s">
        <v>18</v>
      </c>
      <c r="C4" s="11" t="s">
        <v>42</v>
      </c>
      <c r="D4" s="11" t="s">
        <v>44</v>
      </c>
      <c r="E4" s="12">
        <v>2</v>
      </c>
      <c r="F4" s="12">
        <v>3</v>
      </c>
      <c r="G4" s="12">
        <f>E4*F4</f>
        <v>6</v>
      </c>
      <c r="H4" s="12" t="str">
        <f>VLOOKUP(G4,'Risk Matrix'!$G$2:$H$4,2,TRUE)</f>
        <v>High</v>
      </c>
      <c r="I4" s="12" t="s">
        <v>30</v>
      </c>
      <c r="J4" s="13" t="s">
        <v>34</v>
      </c>
      <c r="K4" s="11" t="s">
        <v>38</v>
      </c>
      <c r="L4" s="12">
        <v>1</v>
      </c>
      <c r="M4" s="12">
        <v>3</v>
      </c>
      <c r="N4" s="12">
        <f>L4*M4</f>
        <v>3</v>
      </c>
      <c r="O4" s="12" t="str">
        <f>VLOOKUP(N4,'Risk Matrix'!$G$2:$H$4,2,TRUE)</f>
        <v>Medium</v>
      </c>
      <c r="P4" s="12" t="s">
        <v>52</v>
      </c>
    </row>
    <row r="5" spans="1:17" s="11" customFormat="1" ht="94.95" customHeight="1" x14ac:dyDescent="0.3">
      <c r="A5" s="12" t="s">
        <v>14</v>
      </c>
      <c r="B5" s="11" t="s">
        <v>18</v>
      </c>
      <c r="C5" s="11" t="s">
        <v>42</v>
      </c>
      <c r="D5" s="11" t="s">
        <v>44</v>
      </c>
      <c r="E5" s="12">
        <v>2</v>
      </c>
      <c r="F5" s="12">
        <v>3</v>
      </c>
      <c r="G5" s="12">
        <f t="shared" ref="G5" si="0">E5*F5</f>
        <v>6</v>
      </c>
      <c r="H5" s="12" t="str">
        <f>VLOOKUP(G5,'Risk Matrix'!$G$2:$H$4,2,TRUE)</f>
        <v>High</v>
      </c>
      <c r="I5" s="12" t="s">
        <v>30</v>
      </c>
      <c r="J5" s="13" t="s">
        <v>34</v>
      </c>
      <c r="K5" s="11" t="s">
        <v>38</v>
      </c>
      <c r="L5" s="12">
        <v>1</v>
      </c>
      <c r="M5" s="12">
        <v>3</v>
      </c>
      <c r="N5" s="12">
        <f t="shared" ref="N5" si="1">L5*M5</f>
        <v>3</v>
      </c>
      <c r="O5" s="12" t="str">
        <f>VLOOKUP(N5,'Risk Matrix'!$G$2:$H$4,2,TRUE)</f>
        <v>Medium</v>
      </c>
      <c r="P5" s="12" t="s">
        <v>52</v>
      </c>
    </row>
    <row r="6" spans="1:17" s="11" customFormat="1" ht="94.95" customHeight="1" x14ac:dyDescent="0.3">
      <c r="A6" s="12" t="s">
        <v>15</v>
      </c>
      <c r="B6" s="11" t="s">
        <v>19</v>
      </c>
      <c r="C6" s="11" t="s">
        <v>43</v>
      </c>
      <c r="D6" s="11" t="s">
        <v>21</v>
      </c>
      <c r="E6" s="12">
        <v>2</v>
      </c>
      <c r="F6" s="12">
        <v>3</v>
      </c>
      <c r="G6" s="12">
        <f>E6*F6</f>
        <v>6</v>
      </c>
      <c r="H6" s="12" t="str">
        <f>VLOOKUP(G6,'Risk Matrix'!$G$2:$H$4,2,TRUE)</f>
        <v>High</v>
      </c>
      <c r="I6" s="12" t="s">
        <v>30</v>
      </c>
      <c r="J6" s="13" t="s">
        <v>35</v>
      </c>
      <c r="K6" s="11" t="s">
        <v>37</v>
      </c>
      <c r="L6" s="12">
        <v>1</v>
      </c>
      <c r="M6" s="12">
        <v>2</v>
      </c>
      <c r="N6" s="12">
        <f>L6*M6</f>
        <v>2</v>
      </c>
      <c r="O6" s="12" t="str">
        <f>VLOOKUP(N6,'Risk Matrix'!$G$2:$H$4,2,TRUE)</f>
        <v>Low</v>
      </c>
      <c r="P6" s="12" t="s">
        <v>52</v>
      </c>
      <c r="Q6" s="12"/>
    </row>
    <row r="19" spans="7:7" x14ac:dyDescent="0.3">
      <c r="G19" s="8"/>
    </row>
  </sheetData>
  <phoneticPr fontId="2" type="noConversion"/>
  <conditionalFormatting sqref="H2:H6">
    <cfRule type="containsText" dxfId="5" priority="5" operator="containsText" text="HIGH">
      <formula>NOT(ISERROR(SEARCH("HIGH",H2)))</formula>
    </cfRule>
  </conditionalFormatting>
  <conditionalFormatting sqref="O2:O5">
    <cfRule type="containsText" dxfId="4" priority="2" operator="containsText" text="Medium">
      <formula>NOT(ISERROR(SEARCH("Medium",O2)))</formula>
    </cfRule>
  </conditionalFormatting>
  <conditionalFormatting sqref="O6">
    <cfRule type="containsText" dxfId="3" priority="1" operator="containsText" text="Low">
      <formula>NOT(ISERROR(SEARCH("Low",O6)))</formula>
    </cfRule>
  </conditionalFormatting>
  <dataValidations count="2">
    <dataValidation type="list" allowBlank="1" showInputMessage="1" showErrorMessage="1" sqref="P2:P6" xr:uid="{44625268-5361-46B3-A8DE-434AF6D6CDCD}">
      <formula1>"Open,In Progress,Closed,Accepted"</formula1>
    </dataValidation>
    <dataValidation type="list" allowBlank="1" showInputMessage="1" showErrorMessage="1" sqref="I2:I6" xr:uid="{50FD7AA6-AED9-46EF-ABC4-439E40CD4343}">
      <formula1>"Mitigate,Accept,Avoid,Transfer"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1EF75-0C9B-4BE3-A90F-3EE96EA76A25}">
  <dimension ref="A1:H5"/>
  <sheetViews>
    <sheetView zoomScale="104" workbookViewId="0">
      <pane ySplit="1" topLeftCell="A2" activePane="bottomLeft" state="frozen"/>
      <selection pane="bottomLeft" activeCell="A5" sqref="A5:XFD5"/>
    </sheetView>
  </sheetViews>
  <sheetFormatPr defaultRowHeight="14.4" x14ac:dyDescent="0.3"/>
  <cols>
    <col min="1" max="1" width="21.33203125" bestFit="1" customWidth="1"/>
    <col min="3" max="3" width="12.5546875" customWidth="1"/>
    <col min="5" max="5" width="0" hidden="1" customWidth="1"/>
    <col min="7" max="7" width="13.77734375" bestFit="1" customWidth="1"/>
    <col min="8" max="8" width="9.77734375" bestFit="1" customWidth="1"/>
  </cols>
  <sheetData>
    <row r="1" spans="1:8" ht="28.8" x14ac:dyDescent="0.3">
      <c r="A1" s="2" t="s">
        <v>22</v>
      </c>
      <c r="B1" s="2" t="s">
        <v>25</v>
      </c>
      <c r="C1" s="2" t="s">
        <v>24</v>
      </c>
      <c r="D1" s="2" t="s">
        <v>23</v>
      </c>
      <c r="E1" s="2"/>
      <c r="F1" s="2"/>
      <c r="G1" s="2" t="s">
        <v>26</v>
      </c>
      <c r="H1" s="2" t="s">
        <v>4</v>
      </c>
    </row>
    <row r="2" spans="1:8" x14ac:dyDescent="0.3">
      <c r="A2" s="2" t="s">
        <v>23</v>
      </c>
      <c r="B2" s="2">
        <f>B$5*$E2</f>
        <v>3</v>
      </c>
      <c r="C2" s="2">
        <f t="shared" ref="C2:D4" si="0">C$5*$E2</f>
        <v>6</v>
      </c>
      <c r="D2" s="2">
        <f t="shared" si="0"/>
        <v>9</v>
      </c>
      <c r="E2" s="2">
        <v>3</v>
      </c>
      <c r="F2" s="2"/>
      <c r="G2" s="2">
        <v>1</v>
      </c>
      <c r="H2" s="2" t="s">
        <v>27</v>
      </c>
    </row>
    <row r="3" spans="1:8" x14ac:dyDescent="0.3">
      <c r="A3" s="2" t="s">
        <v>24</v>
      </c>
      <c r="B3" s="2">
        <f t="shared" ref="B3:B4" si="1">B$5*$E3</f>
        <v>2</v>
      </c>
      <c r="C3" s="2">
        <f t="shared" si="0"/>
        <v>4</v>
      </c>
      <c r="D3" s="2">
        <f t="shared" si="0"/>
        <v>6</v>
      </c>
      <c r="E3" s="2">
        <v>2</v>
      </c>
      <c r="F3" s="2"/>
      <c r="G3" s="2">
        <v>3</v>
      </c>
      <c r="H3" s="2" t="s">
        <v>28</v>
      </c>
    </row>
    <row r="4" spans="1:8" x14ac:dyDescent="0.3">
      <c r="A4" s="2" t="s">
        <v>25</v>
      </c>
      <c r="B4" s="2">
        <f t="shared" si="1"/>
        <v>1</v>
      </c>
      <c r="C4" s="2">
        <f t="shared" si="0"/>
        <v>2</v>
      </c>
      <c r="D4" s="2">
        <f t="shared" si="0"/>
        <v>3</v>
      </c>
      <c r="E4" s="2">
        <v>1</v>
      </c>
      <c r="F4" s="2"/>
      <c r="G4" s="2">
        <v>6</v>
      </c>
      <c r="H4" s="2" t="s">
        <v>29</v>
      </c>
    </row>
    <row r="5" spans="1:8" hidden="1" x14ac:dyDescent="0.3">
      <c r="A5" s="2"/>
      <c r="B5" s="2">
        <v>1</v>
      </c>
      <c r="C5" s="2">
        <v>2</v>
      </c>
      <c r="D5" s="2">
        <v>3</v>
      </c>
      <c r="E5" s="2"/>
      <c r="F5" s="2"/>
      <c r="G5" s="2"/>
      <c r="H5" s="2"/>
    </row>
  </sheetData>
  <conditionalFormatting sqref="B2:D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DE897-2405-473E-AA12-48EE4627D788}">
  <dimension ref="A1:J17"/>
  <sheetViews>
    <sheetView showGridLines="0" tabSelected="1" zoomScale="85" workbookViewId="0">
      <selection activeCell="D18" sqref="D18"/>
    </sheetView>
  </sheetViews>
  <sheetFormatPr defaultRowHeight="14.4" x14ac:dyDescent="0.3"/>
  <cols>
    <col min="1" max="1" width="31.44140625" bestFit="1" customWidth="1"/>
    <col min="2" max="2" width="15" bestFit="1" customWidth="1"/>
    <col min="9" max="9" width="20.44140625" bestFit="1" customWidth="1"/>
    <col min="10" max="10" width="14.44140625" bestFit="1" customWidth="1"/>
  </cols>
  <sheetData>
    <row r="1" spans="1:10" x14ac:dyDescent="0.3">
      <c r="A1" s="6" t="s">
        <v>31</v>
      </c>
      <c r="B1" s="1" t="s">
        <v>49</v>
      </c>
      <c r="I1" s="3" t="s">
        <v>50</v>
      </c>
      <c r="J1" s="2" t="s">
        <v>49</v>
      </c>
    </row>
    <row r="2" spans="1:10" x14ac:dyDescent="0.3">
      <c r="A2" s="2" t="s">
        <v>29</v>
      </c>
      <c r="B2" s="2">
        <v>5</v>
      </c>
      <c r="I2" s="2" t="s">
        <v>27</v>
      </c>
      <c r="J2" s="2">
        <v>1</v>
      </c>
    </row>
    <row r="3" spans="1:10" x14ac:dyDescent="0.3">
      <c r="A3" s="2" t="s">
        <v>48</v>
      </c>
      <c r="B3" s="2">
        <v>5</v>
      </c>
      <c r="I3" s="2" t="s">
        <v>28</v>
      </c>
      <c r="J3" s="2">
        <v>4</v>
      </c>
    </row>
    <row r="4" spans="1:10" x14ac:dyDescent="0.3">
      <c r="I4" s="2" t="s">
        <v>48</v>
      </c>
      <c r="J4" s="2">
        <v>5</v>
      </c>
    </row>
    <row r="13" spans="1:10" x14ac:dyDescent="0.3">
      <c r="A13" s="6" t="s">
        <v>5</v>
      </c>
      <c r="B13" s="1" t="s">
        <v>49</v>
      </c>
    </row>
    <row r="14" spans="1:10" x14ac:dyDescent="0.3">
      <c r="A14" s="4" t="s">
        <v>37</v>
      </c>
      <c r="B14" s="7">
        <v>2</v>
      </c>
    </row>
    <row r="15" spans="1:10" x14ac:dyDescent="0.3">
      <c r="A15" s="4" t="s">
        <v>38</v>
      </c>
      <c r="B15" s="7">
        <v>1</v>
      </c>
    </row>
    <row r="16" spans="1:10" x14ac:dyDescent="0.3">
      <c r="A16" s="4" t="s">
        <v>36</v>
      </c>
      <c r="B16" s="7">
        <v>2</v>
      </c>
    </row>
    <row r="17" spans="1:2" x14ac:dyDescent="0.3">
      <c r="A17" s="4" t="s">
        <v>48</v>
      </c>
      <c r="B17" s="7">
        <v>5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Risk Register</vt:lpstr>
      <vt:lpstr>Risk Matrix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Veera Ranjane</dc:creator>
  <cp:lastModifiedBy>Veera Ranjane</cp:lastModifiedBy>
  <dcterms:created xsi:type="dcterms:W3CDTF">2026-08-05T08:38:59Z</dcterms:created>
  <dcterms:modified xsi:type="dcterms:W3CDTF">2026-08-05T19:37:09Z</dcterms:modified>
</cp:coreProperties>
</file>